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TomData\Papers\2025\Management\"/>
    </mc:Choice>
  </mc:AlternateContent>
  <xr:revisionPtr revIDLastSave="0" documentId="13_ncr:1_{ECE0868C-4275-46CA-BCE3-CB15B74403C6}" xr6:coauthVersionLast="47" xr6:coauthVersionMax="47" xr10:uidLastSave="{00000000-0000-0000-0000-000000000000}"/>
  <bookViews>
    <workbookView xWindow="-38520" yWindow="-5385" windowWidth="38640" windowHeight="21120" xr2:uid="{19D98792-7FEE-41EA-874A-F4E4B3B57AD0}"/>
  </bookViews>
  <sheets>
    <sheet name="20260407_ES_normalized_values_i" sheetId="1" r:id="rId1"/>
    <sheet name="Lis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P30" i="1"/>
  <c r="Q30" i="1"/>
  <c r="R30" i="1"/>
  <c r="J30" i="1"/>
  <c r="K30" i="1"/>
  <c r="L30" i="1"/>
  <c r="M30" i="1"/>
  <c r="N30" i="1"/>
  <c r="O30" i="1"/>
  <c r="I30" i="1"/>
  <c r="Q27" i="1"/>
  <c r="R27" i="1"/>
  <c r="Q28" i="1"/>
  <c r="R28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I28" i="1"/>
  <c r="I27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D13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D12" i="1"/>
  <c r="V16" i="1"/>
  <c r="W16" i="1"/>
  <c r="X16" i="1"/>
  <c r="Y16" i="1"/>
  <c r="U16" i="1"/>
</calcChain>
</file>

<file path=xl/sharedStrings.xml><?xml version="1.0" encoding="utf-8"?>
<sst xmlns="http://schemas.openxmlformats.org/spreadsheetml/2006/main" count="65" uniqueCount="31">
  <si>
    <t>Reference climate</t>
  </si>
  <si>
    <t>RCP4.5</t>
  </si>
  <si>
    <t>RCP8.5</t>
  </si>
  <si>
    <t>Ecosystem service</t>
  </si>
  <si>
    <t>Indicator</t>
  </si>
  <si>
    <t>ADAPTATION</t>
  </si>
  <si>
    <t>BAU</t>
  </si>
  <si>
    <t>BIOECONOMY</t>
  </si>
  <si>
    <t>CONSERVATION</t>
  </si>
  <si>
    <t>UNMANAGED</t>
  </si>
  <si>
    <t>Climate regulation</t>
  </si>
  <si>
    <t>Net ecosystem production</t>
  </si>
  <si>
    <t>Carbon stock</t>
  </si>
  <si>
    <t>Water regulation</t>
  </si>
  <si>
    <t>Leaf area index</t>
  </si>
  <si>
    <t>Standing volume</t>
  </si>
  <si>
    <t>Wood production</t>
  </si>
  <si>
    <t>Annual increment</t>
  </si>
  <si>
    <t>Annual harvest</t>
  </si>
  <si>
    <t>Biodiversity</t>
  </si>
  <si>
    <t>Shannon-index</t>
  </si>
  <si>
    <t>Carbon in deadwood</t>
  </si>
  <si>
    <t>Multifunctionality score</t>
  </si>
  <si>
    <r>
      <t>Net ecosystem production [tC ha</t>
    </r>
    <r>
      <rPr>
        <vertAlign val="superscript"/>
        <sz val="11"/>
        <color theme="1"/>
        <rFont val="Aptos"/>
        <family val="2"/>
      </rPr>
      <t xml:space="preserve">-1 </t>
    </r>
    <r>
      <rPr>
        <sz val="11"/>
        <color theme="1"/>
        <rFont val="Aptos"/>
        <family val="2"/>
      </rPr>
      <t>year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</si>
  <si>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r>
      <t>Carbon stock [tC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</si>
  <si>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t>Leaf area index [-]</t>
  </si>
  <si>
    <r>
      <t>Standing volume [m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 xml:space="preserve"> m</t>
    </r>
    <r>
      <rPr>
        <vertAlign val="superscript"/>
        <sz val="11"/>
        <color theme="1"/>
        <rFont val="Aptos"/>
        <family val="2"/>
      </rPr>
      <t>-3</t>
    </r>
    <r>
      <rPr>
        <sz val="11"/>
        <color theme="1"/>
        <rFont val="Aptos"/>
        <family val="2"/>
      </rPr>
      <t>]</t>
    </r>
  </si>
  <si>
    <r>
      <t>Annual increment [m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 xml:space="preserve">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 xml:space="preserve"> year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</si>
  <si>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r>
      <t>Annual harvest [m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 xml:space="preserve">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 xml:space="preserve"> year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</si>
  <si>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t>Shannon-index [-]</t>
  </si>
  <si>
    <r>
      <t>Carbon in deadwood [tC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</si>
</sst>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ptos"/>
      <family val="2"/>
    </font>
    <font>
      <vertAlign val="superscript"/>
      <sz val="11"/>
      <color theme="1"/>
      <name val="Aptos"/>
      <family val="2"/>
    </font>
    <font>
      <sz val="9.5"/>
      <color rgb="FF000000"/>
      <name val="Arial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0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 vertical="center" textRotation="90"/>
    </xf>
    <xf numFmtId="2" fontId="0" fillId="0" borderId="28" xfId="0" applyNumberFormat="1" applyBorder="1" applyAlignment="1">
      <alignment horizontal="center" vertical="center" textRotation="90"/>
    </xf>
    <xf numFmtId="2" fontId="0" fillId="0" borderId="29" xfId="0" applyNumberFormat="1" applyBorder="1" applyAlignment="1">
      <alignment horizontal="center" vertical="center" textRotation="90"/>
    </xf>
    <xf numFmtId="2" fontId="0" fillId="0" borderId="14" xfId="0" applyNumberFormat="1" applyBorder="1" applyAlignment="1">
      <alignment horizontal="center" vertical="center" textRotation="90"/>
    </xf>
    <xf numFmtId="2" fontId="0" fillId="0" borderId="11" xfId="0" applyNumberFormat="1" applyBorder="1" applyAlignment="1">
      <alignment horizontal="center" vertical="center" textRotation="90"/>
    </xf>
    <xf numFmtId="4" fontId="0" fillId="0" borderId="30" xfId="0" applyNumberFormat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4" fontId="0" fillId="0" borderId="32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8" fillId="0" borderId="16" xfId="0" applyFont="1" applyBorder="1" applyAlignment="1">
      <alignment vertical="center" wrapText="1"/>
    </xf>
    <xf numFmtId="0" fontId="18" fillId="33" borderId="15" xfId="0" applyFont="1" applyFill="1" applyBorder="1"/>
    <xf numFmtId="2" fontId="0" fillId="33" borderId="30" xfId="0" applyNumberFormat="1" applyFill="1" applyBorder="1" applyAlignment="1">
      <alignment horizontal="center"/>
    </xf>
    <xf numFmtId="2" fontId="0" fillId="33" borderId="31" xfId="0" applyNumberFormat="1" applyFill="1" applyBorder="1" applyAlignment="1">
      <alignment horizontal="center"/>
    </xf>
    <xf numFmtId="2" fontId="0" fillId="33" borderId="32" xfId="0" applyNumberFormat="1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2" fontId="0" fillId="33" borderId="35" xfId="0" applyNumberFormat="1" applyFill="1" applyBorder="1" applyAlignment="1">
      <alignment horizontal="center"/>
    </xf>
    <xf numFmtId="0" fontId="18" fillId="33" borderId="16" xfId="0" applyFont="1" applyFill="1" applyBorder="1"/>
    <xf numFmtId="2" fontId="0" fillId="33" borderId="33" xfId="0" applyNumberFormat="1" applyFill="1" applyBorder="1" applyAlignment="1">
      <alignment horizontal="center"/>
    </xf>
    <xf numFmtId="2" fontId="0" fillId="33" borderId="25" xfId="0" applyNumberFormat="1" applyFill="1" applyBorder="1" applyAlignment="1">
      <alignment horizontal="center"/>
    </xf>
    <xf numFmtId="2" fontId="0" fillId="33" borderId="26" xfId="0" applyNumberFormat="1" applyFill="1" applyBorder="1" applyAlignment="1">
      <alignment horizontal="center"/>
    </xf>
    <xf numFmtId="2" fontId="0" fillId="33" borderId="24" xfId="0" applyNumberFormat="1" applyFill="1" applyBorder="1" applyAlignment="1">
      <alignment horizontal="center"/>
    </xf>
    <xf numFmtId="0" fontId="18" fillId="0" borderId="15" xfId="0" applyFont="1" applyBorder="1" applyAlignment="1">
      <alignment vertical="center" wrapText="1"/>
    </xf>
    <xf numFmtId="2" fontId="0" fillId="0" borderId="35" xfId="0" applyNumberFormat="1" applyBorder="1" applyAlignment="1">
      <alignment horizontal="center"/>
    </xf>
    <xf numFmtId="0" fontId="18" fillId="33" borderId="15" xfId="0" applyFont="1" applyFill="1" applyBorder="1" applyAlignment="1">
      <alignment vertical="center" wrapText="1"/>
    </xf>
    <xf numFmtId="0" fontId="18" fillId="33" borderId="16" xfId="0" applyFont="1" applyFill="1" applyBorder="1" applyAlignment="1">
      <alignment vertical="center" wrapText="1"/>
    </xf>
    <xf numFmtId="4" fontId="0" fillId="33" borderId="30" xfId="0" applyNumberFormat="1" applyFill="1" applyBorder="1" applyAlignment="1">
      <alignment horizontal="center"/>
    </xf>
    <xf numFmtId="4" fontId="0" fillId="33" borderId="31" xfId="0" applyNumberFormat="1" applyFill="1" applyBorder="1" applyAlignment="1">
      <alignment horizontal="center"/>
    </xf>
    <xf numFmtId="4" fontId="0" fillId="33" borderId="32" xfId="0" applyNumberFormat="1" applyFill="1" applyBorder="1" applyAlignment="1">
      <alignment horizontal="center"/>
    </xf>
    <xf numFmtId="3" fontId="0" fillId="33" borderId="24" xfId="0" applyNumberFormat="1" applyFill="1" applyBorder="1" applyAlignment="1">
      <alignment horizontal="center"/>
    </xf>
    <xf numFmtId="3" fontId="0" fillId="33" borderId="25" xfId="0" applyNumberFormat="1" applyFill="1" applyBorder="1" applyAlignment="1">
      <alignment horizontal="center"/>
    </xf>
    <xf numFmtId="3" fontId="0" fillId="33" borderId="26" xfId="0" applyNumberFormat="1" applyFill="1" applyBorder="1" applyAlignment="1">
      <alignment horizontal="center"/>
    </xf>
    <xf numFmtId="4" fontId="0" fillId="0" borderId="24" xfId="0" applyNumberFormat="1" applyBorder="1" applyAlignment="1">
      <alignment horizontal="center"/>
    </xf>
    <xf numFmtId="4" fontId="0" fillId="0" borderId="25" xfId="0" applyNumberFormat="1" applyBorder="1" applyAlignment="1">
      <alignment horizontal="center"/>
    </xf>
    <xf numFmtId="4" fontId="0" fillId="0" borderId="26" xfId="0" applyNumberFormat="1" applyBorder="1" applyAlignment="1">
      <alignment horizontal="center"/>
    </xf>
    <xf numFmtId="4" fontId="0" fillId="33" borderId="24" xfId="0" applyNumberFormat="1" applyFill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4" fontId="0" fillId="33" borderId="26" xfId="0" applyNumberFormat="1" applyFill="1" applyBorder="1" applyAlignment="1">
      <alignment horizontal="center"/>
    </xf>
    <xf numFmtId="0" fontId="18" fillId="0" borderId="0" xfId="0" applyFont="1" applyAlignment="1">
      <alignment vertical="center" wrapText="1"/>
    </xf>
    <xf numFmtId="0" fontId="18" fillId="0" borderId="36" xfId="0" applyFont="1" applyBorder="1" applyAlignment="1">
      <alignment vertical="center" wrapText="1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33" borderId="18" xfId="0" applyNumberFormat="1" applyFill="1" applyBorder="1" applyAlignment="1">
      <alignment horizontal="center"/>
    </xf>
    <xf numFmtId="2" fontId="0" fillId="33" borderId="19" xfId="0" applyNumberFormat="1" applyFill="1" applyBorder="1" applyAlignment="1">
      <alignment horizontal="center"/>
    </xf>
    <xf numFmtId="2" fontId="0" fillId="33" borderId="20" xfId="0" applyNumberFormat="1" applyFill="1" applyBorder="1" applyAlignment="1">
      <alignment horizontal="center"/>
    </xf>
    <xf numFmtId="0" fontId="20" fillId="34" borderId="41" xfId="0" applyFont="1" applyFill="1" applyBorder="1" applyAlignment="1">
      <alignment vertical="center" wrapText="1"/>
    </xf>
    <xf numFmtId="0" fontId="20" fillId="34" borderId="42" xfId="0" applyFont="1" applyFill="1" applyBorder="1" applyAlignment="1">
      <alignment vertical="center" wrapText="1"/>
    </xf>
    <xf numFmtId="0" fontId="20" fillId="35" borderId="42" xfId="0" applyFont="1" applyFill="1" applyBorder="1" applyAlignment="1">
      <alignment vertical="center" wrapText="1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'20260407_ES_normalized_values_i'!$D$12:$R$12</c:f>
              <c:numCache>
                <c:formatCode>0.00</c:formatCode>
                <c:ptCount val="15"/>
                <c:pt idx="0">
                  <c:v>2.724611080043589</c:v>
                </c:pt>
                <c:pt idx="1">
                  <c:v>2.7299983975211428</c:v>
                </c:pt>
                <c:pt idx="2">
                  <c:v>2.7250286058915991</c:v>
                </c:pt>
                <c:pt idx="3">
                  <c:v>2.7812548517755094</c:v>
                </c:pt>
                <c:pt idx="4">
                  <c:v>2.9824577556659584</c:v>
                </c:pt>
                <c:pt idx="5">
                  <c:v>2.6500754005330687</c:v>
                </c:pt>
                <c:pt idx="6">
                  <c:v>2.6373830745725124</c:v>
                </c:pt>
                <c:pt idx="7">
                  <c:v>2.6383405835112939</c:v>
                </c:pt>
                <c:pt idx="8">
                  <c:v>2.6786282290784365</c:v>
                </c:pt>
                <c:pt idx="9">
                  <c:v>2.796611118550572</c:v>
                </c:pt>
                <c:pt idx="10">
                  <c:v>2.6519920795627643</c:v>
                </c:pt>
                <c:pt idx="11">
                  <c:v>2.6203510499376002</c:v>
                </c:pt>
                <c:pt idx="12">
                  <c:v>2.6319999801984841</c:v>
                </c:pt>
                <c:pt idx="13">
                  <c:v>2.6669137150019973</c:v>
                </c:pt>
                <c:pt idx="14">
                  <c:v>2.7643244472419473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F-4398-84BE-2E04A180F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417024"/>
        <c:axId val="1305415104"/>
      </c:lineChart>
      <c:catAx>
        <c:axId val="130541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05415104"/>
        <c:crosses val="autoZero"/>
        <c:auto val="1"/>
        <c:lblAlgn val="ctr"/>
        <c:lblOffset val="100"/>
        <c:noMultiLvlLbl val="0"/>
      </c:catAx>
      <c:valAx>
        <c:axId val="13054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054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'20260407_ES_normalized_values_i'!$D$3</c:f>
              <c:strCache>
                <c:ptCount val="1"/>
                <c:pt idx="0">
                  <c:v>ADAPTATION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'20260407_ES_normalized_values_i'!$D$4:$D$11</c:f>
              <c:numCache>
                <c:formatCode>0.00</c:formatCode>
                <c:ptCount val="8"/>
                <c:pt idx="0">
                  <c:v>0.23143023068204999</c:v>
                </c:pt>
                <c:pt idx="1">
                  <c:v>0.78140920961066096</c:v>
                </c:pt>
                <c:pt idx="2">
                  <c:v>0.71266159310097199</c:v>
                </c:pt>
                <c:pt idx="3">
                  <c:v>0.58687723689150895</c:v>
                </c:pt>
                <c:pt idx="4">
                  <c:v>0.94051419049097795</c:v>
                </c:pt>
                <c:pt idx="5">
                  <c:v>0.84726110477069305</c:v>
                </c:pt>
                <c:pt idx="6">
                  <c:v>0.89842871252363898</c:v>
                </c:pt>
                <c:pt idx="7">
                  <c:v>0.45063988201667599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A-424D-BD3C-4689F699F5DB}"/>
            </c:ext>
          </c:extLst>
        </c:ser>
        <c:ser>
          <c:idx val="1"/>
          <c:order val="1"/>
          <c:tx>
            <c:strRef>
              <c:f>'20260407_ES_normalized_values_i'!$E$3</c:f>
              <c:strCache>
                <c:ptCount val="1"/>
                <c:pt idx="0">
                  <c:v>BAU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'20260407_ES_normalized_values_i'!$E$4:$E$11</c:f>
              <c:numCache>
                <c:formatCode>0.00</c:formatCode>
                <c:ptCount val="8"/>
                <c:pt idx="0">
                  <c:v>0.36481861335139099</c:v>
                </c:pt>
                <c:pt idx="1">
                  <c:v>0.78515324848355195</c:v>
                </c:pt>
                <c:pt idx="2">
                  <c:v>0.74208769765584004</c:v>
                </c:pt>
                <c:pt idx="3">
                  <c:v>0.62628211878753204</c:v>
                </c:pt>
                <c:pt idx="4">
                  <c:v>0.943879899083087</c:v>
                </c:pt>
                <c:pt idx="5">
                  <c:v>0.85000352665821399</c:v>
                </c:pt>
                <c:pt idx="6">
                  <c:v>0.70500736434019695</c:v>
                </c:pt>
                <c:pt idx="7">
                  <c:v>0.44276432668247301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A-424D-BD3C-4689F699F5DB}"/>
            </c:ext>
          </c:extLst>
        </c:ser>
        <c:ser>
          <c:idx val="2"/>
          <c:order val="2"/>
          <c:tx>
            <c:strRef>
              <c:f>'20260407_ES_normalized_values_i'!$F$3</c:f>
              <c:strCache>
                <c:ptCount val="1"/>
                <c:pt idx="0">
                  <c:v>BIOECONOMY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'20260407_ES_normalized_values_i'!$F$4:$F$11</c:f>
              <c:numCache>
                <c:formatCode>0.00</c:formatCode>
                <c:ptCount val="8"/>
                <c:pt idx="0">
                  <c:v>0.39126015847254297</c:v>
                </c:pt>
                <c:pt idx="1">
                  <c:v>0.77983872211143801</c:v>
                </c:pt>
                <c:pt idx="2">
                  <c:v>0.78229157267401905</c:v>
                </c:pt>
                <c:pt idx="3">
                  <c:v>0.60019695741893098</c:v>
                </c:pt>
                <c:pt idx="4">
                  <c:v>0.951553172430187</c:v>
                </c:pt>
                <c:pt idx="5">
                  <c:v>0.83286326209361194</c:v>
                </c:pt>
                <c:pt idx="6">
                  <c:v>0.682698029106791</c:v>
                </c:pt>
                <c:pt idx="7">
                  <c:v>0.429355337475678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A-424D-BD3C-4689F699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332304"/>
        <c:axId val="678331344"/>
      </c:lineChart>
      <c:catAx>
        <c:axId val="67833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8331344"/>
        <c:crosses val="autoZero"/>
        <c:auto val="1"/>
        <c:lblAlgn val="ctr"/>
        <c:lblOffset val="100"/>
        <c:noMultiLvlLbl val="0"/>
      </c:catAx>
      <c:valAx>
        <c:axId val="6783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83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'20260407_ES_normalized_values_i'!$C$19</c:f>
              <c:strCache>
                <c:ptCount val="1"/>
                <c:pt idx="0">
                  <c:v>Leaf area index [-]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'20260407_ES_normalized_values_i'!$D$19:$R$19</c:f>
              <c:numCache>
                <c:formatCode>#,##0.00</c:formatCode>
                <c:ptCount val="15"/>
                <c:pt idx="0">
                  <c:v>3.3413250257850202</c:v>
                </c:pt>
                <c:pt idx="1">
                  <c:v>3.4792897772356</c:v>
                </c:pt>
                <c:pt idx="2">
                  <c:v>3.6677862740753602</c:v>
                </c:pt>
                <c:pt idx="3">
                  <c:v>3.6330925776530298</c:v>
                </c:pt>
                <c:pt idx="4">
                  <c:v>4.4491214466621303</c:v>
                </c:pt>
                <c:pt idx="5">
                  <c:v>3.1399823079654001</c:v>
                </c:pt>
                <c:pt idx="6">
                  <c:v>3.2181630087405</c:v>
                </c:pt>
                <c:pt idx="7">
                  <c:v>3.39118287833917</c:v>
                </c:pt>
                <c:pt idx="8">
                  <c:v>3.3260842195658702</c:v>
                </c:pt>
                <c:pt idx="9">
                  <c:v>3.9188635446004501</c:v>
                </c:pt>
                <c:pt idx="10">
                  <c:v>3.1719390138513202</c:v>
                </c:pt>
                <c:pt idx="11">
                  <c:v>3.2121437165559499</c:v>
                </c:pt>
                <c:pt idx="12">
                  <c:v>3.3851953049757402</c:v>
                </c:pt>
                <c:pt idx="13">
                  <c:v>3.3310629532794001</c:v>
                </c:pt>
                <c:pt idx="14">
                  <c:v>3.9005720405017001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A-4BBB-A5C2-4864F621E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772464"/>
        <c:axId val="1516772944"/>
      </c:lineChart>
      <c:catAx>
        <c:axId val="151677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16772944"/>
        <c:crosses val="autoZero"/>
        <c:auto val="1"/>
        <c:lblAlgn val="ctr"/>
        <c:lblOffset val="100"/>
        <c:noMultiLvlLbl val="0"/>
      </c:catAx>
      <c:valAx>
        <c:axId val="15167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1677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381000</xdr:colOff>
      <xdr:row>1</xdr:row>
      <xdr:rowOff>129408</xdr:rowOff>
    </xdr:from>
    <xdr:to>
      <xdr:col>26</xdr:col>
      <xdr:colOff>65690</xdr:colOff>
      <xdr:row>11</xdr:row>
      <xdr:rowOff>74229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E2BACC8-E4DC-2122-40F7-C5437EF55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505558</xdr:colOff>
      <xdr:row>15</xdr:row>
      <xdr:rowOff>118039</xdr:rowOff>
    </xdr:from>
    <xdr:to>
      <xdr:col>26</xdr:col>
      <xdr:colOff>190248</xdr:colOff>
      <xdr:row>24</xdr:row>
      <xdr:rowOff>176554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61423583-3926-16F2-6473-3B49A0ACE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90135</xdr:colOff>
      <xdr:row>16</xdr:row>
      <xdr:rowOff>51059</xdr:rowOff>
    </xdr:from>
    <xdr:to>
      <xdr:col>26</xdr:col>
      <xdr:colOff>363948</xdr:colOff>
      <xdr:row>29</xdr:row>
      <xdr:rowOff>183289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7CFE6BF-75DF-6A9B-A974-D4F4D6504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AEF3-D21C-4D5A-BC0D-35CEE78210ED}">
  <dimension ref="B1:Y31"/>
  <sheetViews>
    <sheetView tabSelected="1" zoomScale="85" zoomScaleNormal="85" workbookViewId="0">
      <selection activeCell="H29" sqref="H29"/>
    </sheetView>
  </sheetViews>
  <sheetFormatPr defaultRowHeight="15"/>
  <cols>
    <col min="1" max="1" width="2" bestFit="1" customWidth="1"/>
    <col min="2" max="2" width="17.42578125" bestFit="1" customWidth="1"/>
    <col min="3" max="3" width="38.28515625" customWidth="1"/>
    <col min="4" max="4" width="11.5703125" customWidth="1"/>
    <col min="5" max="18" width="8" bestFit="1" customWidth="1"/>
  </cols>
  <sheetData>
    <row r="1" spans="2:25" ht="15.75" thickBot="1"/>
    <row r="2" spans="2:25" ht="15.75" thickBot="1">
      <c r="B2" s="5"/>
      <c r="C2" s="6"/>
      <c r="D2" s="74" t="s">
        <v>0</v>
      </c>
      <c r="E2" s="75"/>
      <c r="F2" s="75"/>
      <c r="G2" s="75"/>
      <c r="H2" s="76"/>
      <c r="I2" s="74" t="s">
        <v>1</v>
      </c>
      <c r="J2" s="75"/>
      <c r="K2" s="75"/>
      <c r="L2" s="75"/>
      <c r="M2" s="76"/>
      <c r="N2" s="77" t="s">
        <v>2</v>
      </c>
      <c r="O2" s="78"/>
      <c r="P2" s="78"/>
      <c r="Q2" s="78"/>
      <c r="R2" s="79"/>
    </row>
    <row r="3" spans="2:25" ht="79.5" thickBot="1">
      <c r="B3" s="32" t="s">
        <v>3</v>
      </c>
      <c r="C3" s="26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1" t="s">
        <v>5</v>
      </c>
      <c r="J3" s="12" t="s">
        <v>6</v>
      </c>
      <c r="K3" s="12" t="s">
        <v>7</v>
      </c>
      <c r="L3" s="13" t="s">
        <v>8</v>
      </c>
      <c r="M3" s="14" t="s">
        <v>9</v>
      </c>
      <c r="N3" s="15" t="s">
        <v>5</v>
      </c>
      <c r="O3" s="12" t="s">
        <v>6</v>
      </c>
      <c r="P3" s="12" t="s">
        <v>7</v>
      </c>
      <c r="Q3" s="12" t="s">
        <v>8</v>
      </c>
      <c r="R3" s="13" t="s">
        <v>9</v>
      </c>
    </row>
    <row r="4" spans="2:25">
      <c r="B4" s="67" t="s">
        <v>10</v>
      </c>
      <c r="C4" s="28" t="s">
        <v>11</v>
      </c>
      <c r="D4" s="33">
        <v>0.23143023068204999</v>
      </c>
      <c r="E4" s="30">
        <v>0.36481861335139099</v>
      </c>
      <c r="F4" s="30">
        <v>0.39126015847254297</v>
      </c>
      <c r="G4" s="30">
        <v>0.29653167021452298</v>
      </c>
      <c r="H4" s="31">
        <v>0.706314931661849</v>
      </c>
      <c r="I4" s="29">
        <v>0.29633888862374402</v>
      </c>
      <c r="J4" s="30">
        <v>0.33129799744495902</v>
      </c>
      <c r="K4" s="30">
        <v>0.40894839888745299</v>
      </c>
      <c r="L4" s="30">
        <v>0.29852555888726701</v>
      </c>
      <c r="M4" s="31">
        <v>0.60019156827536801</v>
      </c>
      <c r="N4" s="29">
        <v>0.24830206777695699</v>
      </c>
      <c r="O4" s="30">
        <v>0.23916958787395901</v>
      </c>
      <c r="P4" s="30">
        <v>0.33770227060531399</v>
      </c>
      <c r="Q4" s="30">
        <v>0.22826950040372401</v>
      </c>
      <c r="R4" s="31">
        <v>0.49357847829371398</v>
      </c>
    </row>
    <row r="5" spans="2:25" ht="15.75" thickBot="1">
      <c r="B5" s="68"/>
      <c r="C5" s="34" t="s">
        <v>12</v>
      </c>
      <c r="D5" s="35">
        <v>0.78140920961066096</v>
      </c>
      <c r="E5" s="36">
        <v>0.78515324848355195</v>
      </c>
      <c r="F5" s="36">
        <v>0.77983872211143801</v>
      </c>
      <c r="G5" s="36">
        <v>0.85595757800243999</v>
      </c>
      <c r="H5" s="37">
        <v>0.98906018184950695</v>
      </c>
      <c r="I5" s="38">
        <v>0.72873693319580801</v>
      </c>
      <c r="J5" s="36">
        <v>0.72822255244585099</v>
      </c>
      <c r="K5" s="36">
        <v>0.72326508219546604</v>
      </c>
      <c r="L5" s="36">
        <v>0.78819436752897198</v>
      </c>
      <c r="M5" s="37">
        <v>0.89319683158099195</v>
      </c>
      <c r="N5" s="38">
        <v>0.72724412844570296</v>
      </c>
      <c r="O5" s="36">
        <v>0.72394933802431904</v>
      </c>
      <c r="P5" s="36">
        <v>0.72093629230609801</v>
      </c>
      <c r="Q5" s="36">
        <v>0.78480025375371298</v>
      </c>
      <c r="R5" s="37">
        <v>0.89005112693323496</v>
      </c>
    </row>
    <row r="6" spans="2:25">
      <c r="B6" s="69" t="s">
        <v>13</v>
      </c>
      <c r="C6" s="39" t="s">
        <v>14</v>
      </c>
      <c r="D6" s="40">
        <v>0.71266159310097199</v>
      </c>
      <c r="E6" s="23">
        <v>0.74208769765584004</v>
      </c>
      <c r="F6" s="23">
        <v>0.78229157267401905</v>
      </c>
      <c r="G6" s="23">
        <v>0.77489185406774896</v>
      </c>
      <c r="H6" s="24">
        <v>0.94894030170949795</v>
      </c>
      <c r="I6" s="22">
        <v>0.66971778460185605</v>
      </c>
      <c r="J6" s="23">
        <v>0.68639272114175398</v>
      </c>
      <c r="K6" s="23">
        <v>0.72329563090203197</v>
      </c>
      <c r="L6" s="23">
        <v>0.70941092542977402</v>
      </c>
      <c r="M6" s="24">
        <v>0.83584312070452305</v>
      </c>
      <c r="N6" s="22">
        <v>0.67653373837802999</v>
      </c>
      <c r="O6" s="23">
        <v>0.68510888364480904</v>
      </c>
      <c r="P6" s="23">
        <v>0.72201855862110897</v>
      </c>
      <c r="Q6" s="23">
        <v>0.71047282520681598</v>
      </c>
      <c r="R6" s="24">
        <v>0.83194177846734796</v>
      </c>
    </row>
    <row r="7" spans="2:25" ht="15.75" thickBot="1">
      <c r="B7" s="70"/>
      <c r="C7" s="27" t="s">
        <v>15</v>
      </c>
      <c r="D7" s="25">
        <v>0.58687723689150895</v>
      </c>
      <c r="E7" s="9">
        <v>0.62628211878753204</v>
      </c>
      <c r="F7" s="9">
        <v>0.60019695741893098</v>
      </c>
      <c r="G7" s="9">
        <v>0.72275111392615099</v>
      </c>
      <c r="H7" s="10">
        <v>0.94411706357786596</v>
      </c>
      <c r="I7" s="8">
        <v>0.52953163741089404</v>
      </c>
      <c r="J7" s="9">
        <v>0.56364041871880999</v>
      </c>
      <c r="K7" s="9">
        <v>0.53644540109230299</v>
      </c>
      <c r="L7" s="9">
        <v>0.62815904114746501</v>
      </c>
      <c r="M7" s="10">
        <v>0.78429581569812401</v>
      </c>
      <c r="N7" s="8">
        <v>0.54030102589644302</v>
      </c>
      <c r="O7" s="9">
        <v>0.56898131661507101</v>
      </c>
      <c r="P7" s="9">
        <v>0.547775192412576</v>
      </c>
      <c r="Q7" s="9">
        <v>0.63300146284000602</v>
      </c>
      <c r="R7" s="10">
        <v>0.78707329233631695</v>
      </c>
    </row>
    <row r="8" spans="2:25">
      <c r="B8" s="67" t="s">
        <v>16</v>
      </c>
      <c r="C8" s="41" t="s">
        <v>17</v>
      </c>
      <c r="D8" s="33">
        <v>0.94051419049097795</v>
      </c>
      <c r="E8" s="30">
        <v>0.943879899083087</v>
      </c>
      <c r="F8" s="30">
        <v>0.951553172430187</v>
      </c>
      <c r="G8" s="30">
        <v>0.90967288483881004</v>
      </c>
      <c r="H8" s="31">
        <v>0.84707458750443199</v>
      </c>
      <c r="I8" s="29">
        <v>0.91973941572858997</v>
      </c>
      <c r="J8" s="30">
        <v>0.92307764852280405</v>
      </c>
      <c r="K8" s="30">
        <v>0.92444637172446398</v>
      </c>
      <c r="L8" s="30">
        <v>0.89199263521459604</v>
      </c>
      <c r="M8" s="31">
        <v>0.83551543510730997</v>
      </c>
      <c r="N8" s="29">
        <v>0.92392088057302602</v>
      </c>
      <c r="O8" s="30">
        <v>0.92706320206484705</v>
      </c>
      <c r="P8" s="30">
        <v>0.93252948831623195</v>
      </c>
      <c r="Q8" s="30">
        <v>0.89654852104842397</v>
      </c>
      <c r="R8" s="31">
        <v>0.83952046100775901</v>
      </c>
    </row>
    <row r="9" spans="2:25" ht="15.75" thickBot="1">
      <c r="B9" s="68"/>
      <c r="C9" s="42" t="s">
        <v>18</v>
      </c>
      <c r="D9" s="35">
        <v>0.84726110477069305</v>
      </c>
      <c r="E9" s="36">
        <v>0.85000352665821399</v>
      </c>
      <c r="F9" s="36">
        <v>0.83286326209361194</v>
      </c>
      <c r="G9" s="36">
        <v>0.60671387679927802</v>
      </c>
      <c r="H9" s="37">
        <v>0</v>
      </c>
      <c r="I9" s="38">
        <v>0.76343968765947701</v>
      </c>
      <c r="J9" s="36">
        <v>0.80315041992424396</v>
      </c>
      <c r="K9" s="36">
        <v>0.75446784736235695</v>
      </c>
      <c r="L9" s="36">
        <v>0.55880120444196701</v>
      </c>
      <c r="M9" s="37">
        <v>0</v>
      </c>
      <c r="N9" s="38">
        <v>0.78670058336786297</v>
      </c>
      <c r="O9" s="36">
        <v>0.83670894576291899</v>
      </c>
      <c r="P9" s="36">
        <v>0.77912398777690794</v>
      </c>
      <c r="Q9" s="36">
        <v>0.57567497342444096</v>
      </c>
      <c r="R9" s="37">
        <v>0</v>
      </c>
    </row>
    <row r="10" spans="2:25">
      <c r="B10" s="69" t="s">
        <v>19</v>
      </c>
      <c r="C10" s="39" t="s">
        <v>20</v>
      </c>
      <c r="D10" s="40">
        <v>0.89842871252363898</v>
      </c>
      <c r="E10" s="23">
        <v>0.70500736434019695</v>
      </c>
      <c r="F10" s="23">
        <v>0.682698029106791</v>
      </c>
      <c r="G10" s="23">
        <v>0.844810992359871</v>
      </c>
      <c r="H10" s="24">
        <v>0.82010503623346398</v>
      </c>
      <c r="I10" s="22">
        <v>0.97011350202232405</v>
      </c>
      <c r="J10" s="23">
        <v>0.82668887216107201</v>
      </c>
      <c r="K10" s="23">
        <v>0.80449462851032505</v>
      </c>
      <c r="L10" s="23">
        <v>0.95153684018444895</v>
      </c>
      <c r="M10" s="24">
        <v>0.93731612860709201</v>
      </c>
      <c r="N10" s="22">
        <v>0.97370919593973604</v>
      </c>
      <c r="O10" s="23">
        <v>0.83970322996198499</v>
      </c>
      <c r="P10" s="23">
        <v>0.81469578677659404</v>
      </c>
      <c r="Q10" s="23">
        <v>0.95719865217310396</v>
      </c>
      <c r="R10" s="24">
        <v>0.94074878193725098</v>
      </c>
    </row>
    <row r="11" spans="2:25" ht="15.75" thickBot="1">
      <c r="B11" s="73"/>
      <c r="C11" s="56" t="s">
        <v>21</v>
      </c>
      <c r="D11" s="57">
        <v>0.45063988201667599</v>
      </c>
      <c r="E11" s="58">
        <v>0.44276432668247301</v>
      </c>
      <c r="F11" s="58">
        <v>0.429355337475678</v>
      </c>
      <c r="G11" s="58">
        <v>0.55117973334219705</v>
      </c>
      <c r="H11" s="59">
        <v>0.70930340879530096</v>
      </c>
      <c r="I11" s="60">
        <v>0.42253295182344403</v>
      </c>
      <c r="J11" s="58">
        <v>0.412295518785531</v>
      </c>
      <c r="K11" s="58">
        <v>0.40131780634818798</v>
      </c>
      <c r="L11" s="58">
        <v>0.53063588532238304</v>
      </c>
      <c r="M11" s="59">
        <v>0.70686333712773497</v>
      </c>
      <c r="N11" s="60">
        <v>0.42727253874777099</v>
      </c>
      <c r="O11" s="58">
        <v>0.42001759592729099</v>
      </c>
      <c r="P11" s="58">
        <v>0.40921838358213702</v>
      </c>
      <c r="Q11" s="58">
        <v>0.547861241153767</v>
      </c>
      <c r="R11" s="59">
        <v>0.74573497550827095</v>
      </c>
    </row>
    <row r="12" spans="2:25" ht="15.75" thickBot="1">
      <c r="B12" s="71" t="s">
        <v>22</v>
      </c>
      <c r="C12" s="72"/>
      <c r="D12" s="61">
        <f>(D4+D5)/2+(D6+D7)/2+(D8+D9)/2+(D10+D11)/2</f>
        <v>2.724611080043589</v>
      </c>
      <c r="E12" s="62">
        <f t="shared" ref="E12:R12" si="0">(E4+E5)/2+(E6+E7)/2+(E8+E9)/2+(E10+E11)/2</f>
        <v>2.7299983975211428</v>
      </c>
      <c r="F12" s="62">
        <f t="shared" si="0"/>
        <v>2.7250286058915991</v>
      </c>
      <c r="G12" s="62">
        <f t="shared" si="0"/>
        <v>2.7812548517755094</v>
      </c>
      <c r="H12" s="62">
        <f t="shared" si="0"/>
        <v>2.9824577556659584</v>
      </c>
      <c r="I12" s="62">
        <f t="shared" si="0"/>
        <v>2.6500754005330687</v>
      </c>
      <c r="J12" s="62">
        <f t="shared" si="0"/>
        <v>2.6373830745725124</v>
      </c>
      <c r="K12" s="62">
        <f t="shared" si="0"/>
        <v>2.6383405835112939</v>
      </c>
      <c r="L12" s="62">
        <f t="shared" si="0"/>
        <v>2.6786282290784365</v>
      </c>
      <c r="M12" s="62">
        <f t="shared" si="0"/>
        <v>2.796611118550572</v>
      </c>
      <c r="N12" s="62">
        <f t="shared" si="0"/>
        <v>2.6519920795627643</v>
      </c>
      <c r="O12" s="62">
        <f t="shared" si="0"/>
        <v>2.6203510499376002</v>
      </c>
      <c r="P12" s="62">
        <f t="shared" si="0"/>
        <v>2.6319999801984841</v>
      </c>
      <c r="Q12" s="62">
        <f t="shared" si="0"/>
        <v>2.6669137150019973</v>
      </c>
      <c r="R12" s="63">
        <f t="shared" si="0"/>
        <v>2.7643244472419473</v>
      </c>
    </row>
    <row r="13" spans="2:25">
      <c r="B13" s="2"/>
      <c r="C13" s="55"/>
      <c r="D13" s="3">
        <f>AVERAGEA(D4:D11)</f>
        <v>0.68115277001089736</v>
      </c>
      <c r="E13" s="3">
        <f t="shared" ref="E13:R13" si="1">AVERAGEA(E4:E11)</f>
        <v>0.68249959938028582</v>
      </c>
      <c r="F13" s="3">
        <f t="shared" si="1"/>
        <v>0.68125715147289989</v>
      </c>
      <c r="G13" s="3">
        <f t="shared" si="1"/>
        <v>0.69531371294387734</v>
      </c>
      <c r="H13" s="3">
        <f t="shared" si="1"/>
        <v>0.7456144389164896</v>
      </c>
      <c r="I13" s="3">
        <f t="shared" si="1"/>
        <v>0.66251885013326717</v>
      </c>
      <c r="J13" s="3">
        <f t="shared" si="1"/>
        <v>0.65934576864312822</v>
      </c>
      <c r="K13" s="3">
        <f t="shared" si="1"/>
        <v>0.65958514587782346</v>
      </c>
      <c r="L13" s="3">
        <f t="shared" si="1"/>
        <v>0.66965705726960911</v>
      </c>
      <c r="M13" s="3">
        <f t="shared" si="1"/>
        <v>0.699152779637643</v>
      </c>
      <c r="N13" s="3">
        <f t="shared" si="1"/>
        <v>0.66299801989069118</v>
      </c>
      <c r="O13" s="3">
        <f t="shared" si="1"/>
        <v>0.65508776248440004</v>
      </c>
      <c r="P13" s="3">
        <f t="shared" si="1"/>
        <v>0.65799999504962103</v>
      </c>
      <c r="Q13" s="3">
        <f t="shared" si="1"/>
        <v>0.66672842875049942</v>
      </c>
      <c r="R13" s="3">
        <f t="shared" si="1"/>
        <v>0.69108111181048681</v>
      </c>
    </row>
    <row r="14" spans="2:25" ht="15.75" thickBot="1"/>
    <row r="15" spans="2:25" ht="15.75" thickBot="1">
      <c r="B15" s="5"/>
      <c r="C15" s="6"/>
      <c r="D15" s="74" t="s">
        <v>0</v>
      </c>
      <c r="E15" s="75"/>
      <c r="F15" s="75"/>
      <c r="G15" s="75"/>
      <c r="H15" s="76"/>
      <c r="I15" s="74" t="s">
        <v>1</v>
      </c>
      <c r="J15" s="75"/>
      <c r="K15" s="75"/>
      <c r="L15" s="75"/>
      <c r="M15" s="76"/>
      <c r="N15" s="77" t="s">
        <v>2</v>
      </c>
      <c r="O15" s="78"/>
      <c r="P15" s="78"/>
      <c r="Q15" s="78"/>
      <c r="R15" s="79"/>
    </row>
    <row r="16" spans="2:25" ht="79.5" thickBot="1">
      <c r="B16" s="4" t="s">
        <v>3</v>
      </c>
      <c r="C16" s="7" t="s">
        <v>4</v>
      </c>
      <c r="D16" s="11" t="s">
        <v>5</v>
      </c>
      <c r="E16" s="12" t="s">
        <v>6</v>
      </c>
      <c r="F16" s="12" t="s">
        <v>7</v>
      </c>
      <c r="G16" s="12" t="s">
        <v>8</v>
      </c>
      <c r="H16" s="13" t="s">
        <v>9</v>
      </c>
      <c r="I16" s="11" t="s">
        <v>5</v>
      </c>
      <c r="J16" s="12" t="s">
        <v>6</v>
      </c>
      <c r="K16" s="12" t="s">
        <v>7</v>
      </c>
      <c r="L16" s="13" t="s">
        <v>8</v>
      </c>
      <c r="M16" s="14" t="s">
        <v>9</v>
      </c>
      <c r="N16" s="15" t="s">
        <v>5</v>
      </c>
      <c r="O16" s="12" t="s">
        <v>6</v>
      </c>
      <c r="P16" s="12" t="s">
        <v>7</v>
      </c>
      <c r="Q16" s="12" t="s">
        <v>8</v>
      </c>
      <c r="R16" s="13" t="s">
        <v>9</v>
      </c>
      <c r="U16">
        <f>(D4+D5)/2</f>
        <v>0.5064197201463555</v>
      </c>
      <c r="V16">
        <f t="shared" ref="V16:Y16" si="2">(E4+E5)/2</f>
        <v>0.57498593091747141</v>
      </c>
      <c r="W16">
        <f t="shared" si="2"/>
        <v>0.58554944029199052</v>
      </c>
      <c r="X16">
        <f t="shared" si="2"/>
        <v>0.57624462410848154</v>
      </c>
      <c r="Y16">
        <f t="shared" si="2"/>
        <v>0.84768755675567797</v>
      </c>
    </row>
    <row r="17" spans="2:18" ht="16.5">
      <c r="B17" s="67" t="s">
        <v>10</v>
      </c>
      <c r="C17" s="28" t="s">
        <v>23</v>
      </c>
      <c r="D17" s="43">
        <v>-17.183668472946898</v>
      </c>
      <c r="E17" s="44">
        <v>197.091531153652</v>
      </c>
      <c r="F17" s="44">
        <v>239.56724939753801</v>
      </c>
      <c r="G17" s="44">
        <v>87.395333630854907</v>
      </c>
      <c r="H17" s="45">
        <v>745.67147727320901</v>
      </c>
      <c r="I17" s="43">
        <v>87.085649136434299</v>
      </c>
      <c r="J17" s="44">
        <v>143.24398820261101</v>
      </c>
      <c r="K17" s="44">
        <v>267.98165228705801</v>
      </c>
      <c r="L17" s="44">
        <v>90.5983179150589</v>
      </c>
      <c r="M17" s="45">
        <v>575.19482541175103</v>
      </c>
      <c r="N17" s="43">
        <v>9.9192635008251795</v>
      </c>
      <c r="O17" s="44">
        <v>-4.7511591787250103</v>
      </c>
      <c r="P17" s="44">
        <v>153.531817490565</v>
      </c>
      <c r="Q17" s="44">
        <v>-22.2610680020572</v>
      </c>
      <c r="R17" s="45">
        <v>403.93147637439603</v>
      </c>
    </row>
    <row r="18" spans="2:18" ht="17.25" thickBot="1">
      <c r="B18" s="68"/>
      <c r="C18" s="34" t="s">
        <v>24</v>
      </c>
      <c r="D18" s="46">
        <v>302896.04469777201</v>
      </c>
      <c r="E18" s="47">
        <v>304347.33878523001</v>
      </c>
      <c r="F18" s="47">
        <v>302287.27985867002</v>
      </c>
      <c r="G18" s="47">
        <v>331793.07540437602</v>
      </c>
      <c r="H18" s="48">
        <v>383387.36396457697</v>
      </c>
      <c r="I18" s="46">
        <v>282478.798528846</v>
      </c>
      <c r="J18" s="47">
        <v>282279.41017673298</v>
      </c>
      <c r="K18" s="47">
        <v>280357.75618023501</v>
      </c>
      <c r="L18" s="47">
        <v>305526.16150574997</v>
      </c>
      <c r="M18" s="48">
        <v>346228.05067432497</v>
      </c>
      <c r="N18" s="46">
        <v>281900.14569400402</v>
      </c>
      <c r="O18" s="47">
        <v>280622.992859777</v>
      </c>
      <c r="P18" s="47">
        <v>279455.05214533699</v>
      </c>
      <c r="Q18" s="47">
        <v>304210.50816415198</v>
      </c>
      <c r="R18" s="48">
        <v>345008.68765188602</v>
      </c>
    </row>
    <row r="19" spans="2:18">
      <c r="B19" s="69" t="s">
        <v>13</v>
      </c>
      <c r="C19" s="39" t="s">
        <v>25</v>
      </c>
      <c r="D19" s="16">
        <v>3.3413250257850202</v>
      </c>
      <c r="E19" s="17">
        <v>3.4792897772356</v>
      </c>
      <c r="F19" s="17">
        <v>3.6677862740753602</v>
      </c>
      <c r="G19" s="17">
        <v>3.6330925776530298</v>
      </c>
      <c r="H19" s="18">
        <v>4.4491214466621303</v>
      </c>
      <c r="I19" s="16">
        <v>3.1399823079654001</v>
      </c>
      <c r="J19" s="17">
        <v>3.2181630087405</v>
      </c>
      <c r="K19" s="17">
        <v>3.39118287833917</v>
      </c>
      <c r="L19" s="17">
        <v>3.3260842195658702</v>
      </c>
      <c r="M19" s="18">
        <v>3.9188635446004501</v>
      </c>
      <c r="N19" s="16">
        <v>3.1719390138513202</v>
      </c>
      <c r="O19" s="17">
        <v>3.2121437165559499</v>
      </c>
      <c r="P19" s="17">
        <v>3.3851953049757402</v>
      </c>
      <c r="Q19" s="17">
        <v>3.3310629532794001</v>
      </c>
      <c r="R19" s="18">
        <v>3.9005720405017001</v>
      </c>
    </row>
    <row r="20" spans="2:18" ht="17.25" thickBot="1">
      <c r="B20" s="70"/>
      <c r="C20" s="27" t="s">
        <v>26</v>
      </c>
      <c r="D20" s="49">
        <v>284.01527622701798</v>
      </c>
      <c r="E20" s="50">
        <v>303.08500276074699</v>
      </c>
      <c r="F20" s="50">
        <v>290.46126504215698</v>
      </c>
      <c r="G20" s="50">
        <v>349.77052160410699</v>
      </c>
      <c r="H20" s="51">
        <v>456.89907828590401</v>
      </c>
      <c r="I20" s="49">
        <v>256.26326055307902</v>
      </c>
      <c r="J20" s="50">
        <v>272.76997496620902</v>
      </c>
      <c r="K20" s="50">
        <v>259.60912980529997</v>
      </c>
      <c r="L20" s="50">
        <v>303.99332666394798</v>
      </c>
      <c r="M20" s="51">
        <v>379.55466447981399</v>
      </c>
      <c r="N20" s="49">
        <v>261.47503339627201</v>
      </c>
      <c r="O20" s="50">
        <v>275.35466644162102</v>
      </c>
      <c r="P20" s="50">
        <v>265.09210581654497</v>
      </c>
      <c r="Q20" s="50">
        <v>306.33678394625701</v>
      </c>
      <c r="R20" s="51">
        <v>380.89880554548</v>
      </c>
    </row>
    <row r="21" spans="2:18" ht="16.5">
      <c r="B21" s="67" t="s">
        <v>16</v>
      </c>
      <c r="C21" s="41" t="s">
        <v>27</v>
      </c>
      <c r="D21" s="43">
        <v>881.82077422051998</v>
      </c>
      <c r="E21" s="44">
        <v>884.97644351982603</v>
      </c>
      <c r="F21" s="44">
        <v>892.17086111836602</v>
      </c>
      <c r="G21" s="44">
        <v>852.904140847907</v>
      </c>
      <c r="H21" s="45">
        <v>794.212332070976</v>
      </c>
      <c r="I21" s="43">
        <v>862.34246315360997</v>
      </c>
      <c r="J21" s="44">
        <v>865.472371300541</v>
      </c>
      <c r="K21" s="44">
        <v>866.755678416568</v>
      </c>
      <c r="L21" s="44">
        <v>836.32723901094801</v>
      </c>
      <c r="M21" s="45">
        <v>783.37453630008804</v>
      </c>
      <c r="N21" s="43">
        <v>866.26298089143597</v>
      </c>
      <c r="O21" s="44">
        <v>869.20920371165801</v>
      </c>
      <c r="P21" s="44">
        <v>874.33436271834</v>
      </c>
      <c r="Q21" s="44">
        <v>840.59881174623001</v>
      </c>
      <c r="R21" s="45">
        <v>787.129625884078</v>
      </c>
    </row>
    <row r="22" spans="2:18" ht="17.25" thickBot="1">
      <c r="B22" s="68"/>
      <c r="C22" s="42" t="s">
        <v>28</v>
      </c>
      <c r="D22" s="52">
        <v>7.7657876117773803</v>
      </c>
      <c r="E22" s="53">
        <v>7.7909239785956599</v>
      </c>
      <c r="F22" s="53">
        <v>7.6338205148949401</v>
      </c>
      <c r="G22" s="53">
        <v>5.5609906813985397</v>
      </c>
      <c r="H22" s="54">
        <v>0</v>
      </c>
      <c r="I22" s="52">
        <v>6.99750104823912</v>
      </c>
      <c r="J22" s="53">
        <v>7.3614798865687696</v>
      </c>
      <c r="K22" s="53">
        <v>6.9152673591887002</v>
      </c>
      <c r="L22" s="53">
        <v>5.1218348705812202</v>
      </c>
      <c r="M22" s="54">
        <v>0</v>
      </c>
      <c r="N22" s="52">
        <v>7.2107047167586602</v>
      </c>
      <c r="O22" s="53">
        <v>7.6690691087814802</v>
      </c>
      <c r="P22" s="53">
        <v>7.1412594986926097</v>
      </c>
      <c r="Q22" s="53">
        <v>5.2764957010976303</v>
      </c>
      <c r="R22" s="54">
        <v>0</v>
      </c>
    </row>
    <row r="23" spans="2:18">
      <c r="B23" s="69" t="s">
        <v>19</v>
      </c>
      <c r="C23" s="39" t="s">
        <v>29</v>
      </c>
      <c r="D23" s="16">
        <v>1.91111302657316</v>
      </c>
      <c r="E23" s="17">
        <v>1.4996724158958901</v>
      </c>
      <c r="F23" s="17">
        <v>1.45221660712172</v>
      </c>
      <c r="G23" s="17">
        <v>1.79705887621959</v>
      </c>
      <c r="H23" s="18">
        <v>1.74450504091919</v>
      </c>
      <c r="I23" s="16">
        <v>2.0635989535125101</v>
      </c>
      <c r="J23" s="17">
        <v>1.7585099969392699</v>
      </c>
      <c r="K23" s="17">
        <v>1.7112990078372701</v>
      </c>
      <c r="L23" s="17">
        <v>2.0240831856683501</v>
      </c>
      <c r="M23" s="18">
        <v>1.9938332762834601</v>
      </c>
      <c r="N23" s="16">
        <v>2.0712476154367598</v>
      </c>
      <c r="O23" s="17">
        <v>1.7861937835092101</v>
      </c>
      <c r="P23" s="17">
        <v>1.7329986331687399</v>
      </c>
      <c r="Q23" s="17">
        <v>2.03612683754044</v>
      </c>
      <c r="R23" s="18">
        <v>2.0011351227221699</v>
      </c>
    </row>
    <row r="24" spans="2:18" ht="17.25" thickBot="1">
      <c r="B24" s="70"/>
      <c r="C24" s="27" t="s">
        <v>30</v>
      </c>
      <c r="D24" s="19">
        <v>17058.632183685</v>
      </c>
      <c r="E24" s="20">
        <v>16760.508988091999</v>
      </c>
      <c r="F24" s="20">
        <v>16252.9218348865</v>
      </c>
      <c r="G24" s="20">
        <v>20864.492277312798</v>
      </c>
      <c r="H24" s="21">
        <v>26850.1445170031</v>
      </c>
      <c r="I24" s="19">
        <v>15994.665581720699</v>
      </c>
      <c r="J24" s="20">
        <v>15607.1352905327</v>
      </c>
      <c r="K24" s="20">
        <v>15191.582282110799</v>
      </c>
      <c r="L24" s="20">
        <v>20086.820435576901</v>
      </c>
      <c r="M24" s="21">
        <v>26757.7774479976</v>
      </c>
      <c r="N24" s="19">
        <v>16174.079063019501</v>
      </c>
      <c r="O24" s="20">
        <v>15899.448685134599</v>
      </c>
      <c r="P24" s="20">
        <v>15490.6526628095</v>
      </c>
      <c r="Q24" s="20">
        <v>20738.873263315301</v>
      </c>
      <c r="R24" s="21">
        <v>28229.233943466501</v>
      </c>
    </row>
    <row r="27" spans="2:18">
      <c r="I27" s="1">
        <f>I10-$D$10</f>
        <v>7.1684789498685064E-2</v>
      </c>
      <c r="J27" s="1">
        <f t="shared" ref="J27:P27" si="3">J10-$D$10</f>
        <v>-7.1739840362566976E-2</v>
      </c>
      <c r="K27" s="1">
        <f t="shared" si="3"/>
        <v>-9.3934084013313934E-2</v>
      </c>
      <c r="L27" s="1">
        <f t="shared" si="3"/>
        <v>5.3108127660809967E-2</v>
      </c>
      <c r="M27" s="1">
        <f t="shared" si="3"/>
        <v>3.888741608345303E-2</v>
      </c>
      <c r="N27" s="1">
        <f t="shared" si="3"/>
        <v>7.5280483416097055E-2</v>
      </c>
      <c r="O27" s="1">
        <f t="shared" si="3"/>
        <v>-5.8725482561653997E-2</v>
      </c>
      <c r="P27" s="1">
        <f t="shared" si="3"/>
        <v>-8.373292574704494E-2</v>
      </c>
      <c r="Q27" s="1">
        <f>Q10-$D$10</f>
        <v>5.8769939649464975E-2</v>
      </c>
      <c r="R27" s="1">
        <f t="shared" ref="R27" si="4">R10-$D$10</f>
        <v>4.2320069413611994E-2</v>
      </c>
    </row>
    <row r="28" spans="2:18">
      <c r="I28" s="1">
        <f>I11-$D$11</f>
        <v>-2.810693019323196E-2</v>
      </c>
      <c r="J28" s="1">
        <f t="shared" ref="J28:P28" si="5">J11-$D$11</f>
        <v>-3.8344363231144984E-2</v>
      </c>
      <c r="K28" s="1">
        <f t="shared" si="5"/>
        <v>-4.9322075668488008E-2</v>
      </c>
      <c r="L28" s="1">
        <f t="shared" si="5"/>
        <v>7.9996003305707053E-2</v>
      </c>
      <c r="M28" s="1">
        <f t="shared" si="5"/>
        <v>0.25622345511105898</v>
      </c>
      <c r="N28" s="1">
        <f t="shared" si="5"/>
        <v>-2.3367343268904994E-2</v>
      </c>
      <c r="O28" s="1">
        <f t="shared" si="5"/>
        <v>-3.0622286089384998E-2</v>
      </c>
      <c r="P28" s="1">
        <f t="shared" si="5"/>
        <v>-4.1421498434538961E-2</v>
      </c>
      <c r="Q28" s="1">
        <f>Q11-$D$11</f>
        <v>9.7221359137091012E-2</v>
      </c>
      <c r="R28" s="1">
        <f t="shared" ref="R28" si="6">R11-$D$11</f>
        <v>0.29509509349159496</v>
      </c>
    </row>
    <row r="30" spans="2:18">
      <c r="I30" s="1">
        <f>I5-$D$5</f>
        <v>-5.2672276414852948E-2</v>
      </c>
      <c r="J30" s="1">
        <f t="shared" ref="J30:R30" si="7">J5-$D$5</f>
        <v>-5.318665716480997E-2</v>
      </c>
      <c r="K30" s="1">
        <f t="shared" si="7"/>
        <v>-5.8144127415194924E-2</v>
      </c>
      <c r="L30" s="1">
        <f t="shared" si="7"/>
        <v>6.7851579183110244E-3</v>
      </c>
      <c r="M30" s="1">
        <f t="shared" si="7"/>
        <v>0.11178762197033099</v>
      </c>
      <c r="N30" s="1">
        <f t="shared" si="7"/>
        <v>-5.4165081164957996E-2</v>
      </c>
      <c r="O30" s="1">
        <f t="shared" si="7"/>
        <v>-5.7459871586341915E-2</v>
      </c>
      <c r="P30" s="1">
        <f>P5-$D$5</f>
        <v>-6.0472917304562945E-2</v>
      </c>
      <c r="Q30" s="1">
        <f t="shared" si="7"/>
        <v>3.3910441430520244E-3</v>
      </c>
      <c r="R30" s="1">
        <f t="shared" si="7"/>
        <v>0.108641917322574</v>
      </c>
    </row>
    <row r="31" spans="2:18">
      <c r="I31" s="1"/>
    </row>
  </sheetData>
  <mergeCells count="15">
    <mergeCell ref="I15:M15"/>
    <mergeCell ref="N15:R15"/>
    <mergeCell ref="B17:B18"/>
    <mergeCell ref="B19:B20"/>
    <mergeCell ref="D2:H2"/>
    <mergeCell ref="I2:M2"/>
    <mergeCell ref="N2:R2"/>
    <mergeCell ref="B4:B5"/>
    <mergeCell ref="B6:B7"/>
    <mergeCell ref="B8:B9"/>
    <mergeCell ref="B21:B22"/>
    <mergeCell ref="B23:B24"/>
    <mergeCell ref="B12:C12"/>
    <mergeCell ref="B10:B11"/>
    <mergeCell ref="D15:H15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E843-3D7F-4572-BA2E-03E0EA8796F9}">
  <dimension ref="A1:A9"/>
  <sheetViews>
    <sheetView workbookViewId="0">
      <selection activeCell="E6" sqref="E6"/>
    </sheetView>
  </sheetViews>
  <sheetFormatPr defaultRowHeight="15"/>
  <sheetData>
    <row r="1" spans="1:1" ht="15.75" thickBot="1">
      <c r="A1" s="64">
        <v>0.32500000000000001</v>
      </c>
    </row>
    <row r="2" spans="1:1" ht="15.75" thickBot="1">
      <c r="A2" s="65">
        <v>0.14000000000000001</v>
      </c>
    </row>
    <row r="3" spans="1:1" ht="15.75" thickBot="1">
      <c r="A3" s="65">
        <v>0.121</v>
      </c>
    </row>
    <row r="4" spans="1:1" ht="15.75" thickBot="1">
      <c r="A4" s="66">
        <v>0.11899999999999999</v>
      </c>
    </row>
    <row r="5" spans="1:1" ht="15.75" thickBot="1">
      <c r="A5" s="66">
        <v>9.2999999999999999E-2</v>
      </c>
    </row>
    <row r="6" spans="1:1" ht="15.75" thickBot="1">
      <c r="A6" s="66">
        <v>0.08</v>
      </c>
    </row>
    <row r="7" spans="1:1" ht="15.75" thickBot="1">
      <c r="A7" s="65">
        <v>7.5999999999999998E-2</v>
      </c>
    </row>
    <row r="8" spans="1:1" ht="15.75" thickBot="1">
      <c r="A8" s="65">
        <v>3.7999999999999999E-2</v>
      </c>
    </row>
    <row r="9" spans="1:1">
      <c r="A9">
        <f>SUM(A1:A8)</f>
        <v>0.99199999999999999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97456-8adb-4cbf-a74d-0fa2ee96b87e">
      <Terms xmlns="http://schemas.microsoft.com/office/infopath/2007/PartnerControls"/>
    </lcf76f155ced4ddcb4097134ff3c332f>
    <TaxCatchAll xmlns="daedbbd3-86b6-4e18-9f07-476223ed54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51A659AB8FAA4E92A24157D73A27F3" ma:contentTypeVersion="15" ma:contentTypeDescription="Vytvoří nový dokument" ma:contentTypeScope="" ma:versionID="4acfbf09363473525088647d65326f89">
  <xsd:schema xmlns:xsd="http://www.w3.org/2001/XMLSchema" xmlns:xs="http://www.w3.org/2001/XMLSchema" xmlns:p="http://schemas.microsoft.com/office/2006/metadata/properties" xmlns:ns2="08297456-8adb-4cbf-a74d-0fa2ee96b87e" xmlns:ns3="daedbbd3-86b6-4e18-9f07-476223ed54b8" targetNamespace="http://schemas.microsoft.com/office/2006/metadata/properties" ma:root="true" ma:fieldsID="3131c9fc6392287fc00c49387f187b36" ns2:_="" ns3:_="">
    <xsd:import namespace="08297456-8adb-4cbf-a74d-0fa2ee96b87e"/>
    <xsd:import namespace="daedbbd3-86b6-4e18-9f07-476223ed5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97456-8adb-4cbf-a74d-0fa2ee96b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Značky obrázků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dbbd3-86b6-4e18-9f07-476223ed54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be5c42-97b1-4104-8ed1-497948320d55}" ma:internalName="TaxCatchAll" ma:showField="CatchAllData" ma:web="daedbbd3-86b6-4e18-9f07-476223ed5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8BEC33-6AC8-44BB-B6D8-36EC5FB01271}"/>
</file>

<file path=customXml/itemProps2.xml><?xml version="1.0" encoding="utf-8"?>
<ds:datastoreItem xmlns:ds="http://schemas.openxmlformats.org/officeDocument/2006/customXml" ds:itemID="{2EE03394-F27D-40B6-A9F1-BB72BA2DB1B5}"/>
</file>

<file path=customXml/itemProps3.xml><?xml version="1.0" encoding="utf-8"?>
<ds:datastoreItem xmlns:ds="http://schemas.openxmlformats.org/officeDocument/2006/customXml" ds:itemID="{EACAE255-0942-44BB-9B07-E1A1312964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Hlásny Tomáš</dc:creator>
  <cp:keywords/>
  <dc:description/>
  <cp:lastModifiedBy>Baldo Marco</cp:lastModifiedBy>
  <cp:revision/>
  <dcterms:created xsi:type="dcterms:W3CDTF">2026-04-08T07:31:49Z</dcterms:created>
  <dcterms:modified xsi:type="dcterms:W3CDTF">2026-05-01T12:47:55Z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0x010100C551A659AB8FAA4E92A24157D73A27F3</vt:lpwstr>
  </property>
  <property fmtid="{D5CDD505-2E9C-101B-9397-08002B2CF9AE}" pid="3" name="MediaServiceImageTags">
    <vt:lpwstr/>
  </property>
</Properties>
</file>